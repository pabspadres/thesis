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ablopadres/Documents/School/MS2/thesis/PCA/"/>
    </mc:Choice>
  </mc:AlternateContent>
  <xr:revisionPtr revIDLastSave="0" documentId="13_ncr:1_{2064F6DC-180F-6F40-A0A2-F9C92FFDE1A0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Country minliving wag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B111" i="2" l="1"/>
  <c r="C112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6" i="2"/>
  <c r="C24" i="2"/>
  <c r="C23" i="2"/>
  <c r="C22" i="2"/>
  <c r="B22" i="2"/>
  <c r="C21" i="2"/>
  <c r="C20" i="2"/>
  <c r="C19" i="2"/>
  <c r="C18" i="2"/>
  <c r="C17" i="2"/>
  <c r="C16" i="2"/>
  <c r="C15" i="2"/>
  <c r="C14" i="2"/>
  <c r="C13" i="2"/>
  <c r="C111" i="2" l="1"/>
</calcChain>
</file>

<file path=xl/sharedStrings.xml><?xml version="1.0" encoding="utf-8"?>
<sst xmlns="http://schemas.openxmlformats.org/spreadsheetml/2006/main" count="114" uniqueCount="114">
  <si>
    <t>Country</t>
  </si>
  <si>
    <t>Monthly Minimum Wage in USD$</t>
  </si>
  <si>
    <t>Avg Monthly Living Wage in USD$</t>
  </si>
  <si>
    <t>Albania</t>
  </si>
  <si>
    <t>Argentina</t>
  </si>
  <si>
    <t>Australia</t>
  </si>
  <si>
    <t>Bangladesh</t>
  </si>
  <si>
    <t>Belgium</t>
  </si>
  <si>
    <t>Bosnia and Herzegovina</t>
  </si>
  <si>
    <t xml:space="preserve">Brazil </t>
  </si>
  <si>
    <t>Bulgaria</t>
  </si>
  <si>
    <t>Cambodia</t>
  </si>
  <si>
    <t>Canada</t>
  </si>
  <si>
    <t>Chile</t>
  </si>
  <si>
    <t>China</t>
  </si>
  <si>
    <t>Colombia</t>
  </si>
  <si>
    <t xml:space="preserve">Costa Rica </t>
  </si>
  <si>
    <t>Czech Republic</t>
  </si>
  <si>
    <t xml:space="preserve">Dominican Republic </t>
  </si>
  <si>
    <t>Ecuador</t>
  </si>
  <si>
    <t>Egypt</t>
  </si>
  <si>
    <t>El Salvador</t>
  </si>
  <si>
    <t>Estonia</t>
  </si>
  <si>
    <t xml:space="preserve">Ethiopia </t>
  </si>
  <si>
    <t>France</t>
  </si>
  <si>
    <t xml:space="preserve">Georgia </t>
  </si>
  <si>
    <t xml:space="preserve">Germany </t>
  </si>
  <si>
    <t>Greece</t>
  </si>
  <si>
    <t>Guatemala</t>
  </si>
  <si>
    <t>Haiti</t>
  </si>
  <si>
    <t>Honduras</t>
  </si>
  <si>
    <t>Hong Kong</t>
  </si>
  <si>
    <t>India</t>
  </si>
  <si>
    <t>Indonesia</t>
  </si>
  <si>
    <t xml:space="preserve">Israel </t>
  </si>
  <si>
    <t>Japan</t>
  </si>
  <si>
    <t>Jordan</t>
  </si>
  <si>
    <t>Kenya</t>
  </si>
  <si>
    <t>Laos</t>
  </si>
  <si>
    <t>Lesotho</t>
  </si>
  <si>
    <t>Lithuania</t>
  </si>
  <si>
    <t>Macao</t>
  </si>
  <si>
    <t>Madagascar</t>
  </si>
  <si>
    <t>Malaysia</t>
  </si>
  <si>
    <t>Mauritius</t>
  </si>
  <si>
    <t>Mexico</t>
  </si>
  <si>
    <t>Moldova</t>
  </si>
  <si>
    <t>Morocco</t>
  </si>
  <si>
    <t>Netherlands</t>
  </si>
  <si>
    <t>Nicaragua</t>
  </si>
  <si>
    <t xml:space="preserve">North Macedonia </t>
  </si>
  <si>
    <t>Pakistan</t>
  </si>
  <si>
    <t>Paraguay</t>
  </si>
  <si>
    <t>Peru</t>
  </si>
  <si>
    <t>Philippines</t>
  </si>
  <si>
    <t xml:space="preserve">Poland </t>
  </si>
  <si>
    <t>Portugal</t>
  </si>
  <si>
    <t>Puerto Rico</t>
  </si>
  <si>
    <t>Romania</t>
  </si>
  <si>
    <t>Saudi Arabia</t>
  </si>
  <si>
    <t>Serbia</t>
  </si>
  <si>
    <t>Slovakia</t>
  </si>
  <si>
    <t>Slovenia</t>
  </si>
  <si>
    <t>South Africa</t>
  </si>
  <si>
    <t>South Korea</t>
  </si>
  <si>
    <t>Spain</t>
  </si>
  <si>
    <t>Sri Lanka</t>
  </si>
  <si>
    <t>Switzerland</t>
  </si>
  <si>
    <t>Taiwan</t>
  </si>
  <si>
    <t>Tanzania</t>
  </si>
  <si>
    <t>Thailand</t>
  </si>
  <si>
    <t xml:space="preserve">Tunisia </t>
  </si>
  <si>
    <t>Turkey</t>
  </si>
  <si>
    <t>Ukraine</t>
  </si>
  <si>
    <t>United Kingdom</t>
  </si>
  <si>
    <t>Uruguay</t>
  </si>
  <si>
    <t>Vietnam</t>
  </si>
  <si>
    <t>Anhui (China)</t>
  </si>
  <si>
    <t>Fujian (China)</t>
  </si>
  <si>
    <t>Guangdong (China)</t>
  </si>
  <si>
    <t>Guangxi (China)</t>
  </si>
  <si>
    <t>Jiangsu (China)</t>
  </si>
  <si>
    <t>Jiangxi (China)</t>
  </si>
  <si>
    <t>Shandong (China)</t>
  </si>
  <si>
    <t>Shanghai (China)</t>
  </si>
  <si>
    <t>Zhejiang (China)</t>
  </si>
  <si>
    <t>Arkansas (United States)</t>
  </si>
  <si>
    <t>California (United States)</t>
  </si>
  <si>
    <t>Georgia (United States)</t>
  </si>
  <si>
    <t>Illinois (United States)</t>
  </si>
  <si>
    <t>Kentucky (United States)</t>
  </si>
  <si>
    <t>Maryland (United States)</t>
  </si>
  <si>
    <t>Massachusetts (United States)</t>
  </si>
  <si>
    <t>Michigan (United States)</t>
  </si>
  <si>
    <t>Minnesota (United States)</t>
  </si>
  <si>
    <t>Missouri (United States)</t>
  </si>
  <si>
    <t>New Hampshire (United States)</t>
  </si>
  <si>
    <t>New Jersey (United States)</t>
  </si>
  <si>
    <t>New York (United States)</t>
  </si>
  <si>
    <t>North Carolina (United States)</t>
  </si>
  <si>
    <t>Oregon (United States)</t>
  </si>
  <si>
    <t>Pennsylvania (United States)</t>
  </si>
  <si>
    <t>Rhode Island (United States)</t>
  </si>
  <si>
    <t>South Carolina (United States)</t>
  </si>
  <si>
    <t>Tennessee (United States)</t>
  </si>
  <si>
    <t>Texas (United States)</t>
  </si>
  <si>
    <t>Wisconsin (United States)</t>
  </si>
  <si>
    <t>Denmark</t>
  </si>
  <si>
    <t>Italy</t>
  </si>
  <si>
    <t>United States</t>
  </si>
  <si>
    <t>United Arab Emirates</t>
  </si>
  <si>
    <t xml:space="preserve">Myanmar </t>
  </si>
  <si>
    <t>Croatia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</si>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</sst>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2" fontId="0" fillId="0" borderId="0" xfId="0" applyNumberFormat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2"/>
  <sheetViews>
    <sheetView tabSelected="1" topLeftCell="A95" workbookViewId="0">
      <selection activeCell="C111" sqref="C111"/>
    </sheetView>
  </sheetViews>
  <sheetFormatPr baseColWidth="10" defaultColWidth="12.6640625" defaultRowHeight="15.75" customHeight="1" x14ac:dyDescent="0.15"/>
  <cols>
    <col min="1" max="1" width="25.5" bestFit="1" customWidth="1"/>
    <col min="2" max="2" width="21.1640625" customWidth="1"/>
    <col min="3" max="3" width="21.33203125" customWidth="1"/>
  </cols>
  <sheetData>
    <row r="1" spans="1:3" ht="35" customHeight="1" x14ac:dyDescent="0.15">
      <c r="A1" s="1" t="s">
        <v>0</v>
      </c>
      <c r="B1" s="2" t="s">
        <v>1</v>
      </c>
      <c r="C1" s="2" t="s">
        <v>2</v>
      </c>
    </row>
    <row r="2" spans="1:3" ht="15.75" customHeight="1" x14ac:dyDescent="0.15">
      <c r="A2" s="3" t="s">
        <v>3</v>
      </c>
      <c r="B2" s="3">
        <v>614.67999999999995</v>
      </c>
      <c r="C2" s="4">
        <v>485</v>
      </c>
    </row>
    <row r="3" spans="1:3" ht="15.75" customHeight="1" x14ac:dyDescent="0.15">
      <c r="A3" s="3" t="s">
        <v>4</v>
      </c>
      <c r="B3" s="3">
        <v>257.5</v>
      </c>
      <c r="C3" s="4">
        <v>405.75</v>
      </c>
    </row>
    <row r="4" spans="1:3" ht="15.75" customHeight="1" x14ac:dyDescent="0.15">
      <c r="A4" s="3" t="s">
        <v>5</v>
      </c>
      <c r="B4" s="3">
        <v>2718.09</v>
      </c>
      <c r="C4" s="4">
        <v>1636</v>
      </c>
    </row>
    <row r="5" spans="1:3" ht="15.75" customHeight="1" x14ac:dyDescent="0.15">
      <c r="A5" s="3" t="s">
        <v>6</v>
      </c>
      <c r="B5" s="3">
        <v>102.06</v>
      </c>
      <c r="C5" s="4">
        <v>242.08</v>
      </c>
    </row>
    <row r="6" spans="1:3" ht="15.75" customHeight="1" x14ac:dyDescent="0.15">
      <c r="A6" s="3" t="s">
        <v>7</v>
      </c>
      <c r="B6" s="3">
        <v>2567.42</v>
      </c>
      <c r="C6" s="4">
        <v>1218.5</v>
      </c>
    </row>
    <row r="7" spans="1:3" ht="15.75" customHeight="1" x14ac:dyDescent="0.15">
      <c r="A7" s="3" t="s">
        <v>8</v>
      </c>
      <c r="B7" s="3">
        <v>615.82000000000005</v>
      </c>
      <c r="C7" s="4">
        <v>375.67</v>
      </c>
    </row>
    <row r="8" spans="1:3" ht="15.75" customHeight="1" x14ac:dyDescent="0.15">
      <c r="A8" s="3" t="s">
        <v>9</v>
      </c>
      <c r="B8" s="4">
        <v>325.04500000000002</v>
      </c>
      <c r="C8" s="4">
        <v>415.42</v>
      </c>
    </row>
    <row r="9" spans="1:3" ht="15.75" customHeight="1" x14ac:dyDescent="0.15">
      <c r="A9" s="3" t="s">
        <v>10</v>
      </c>
      <c r="B9" s="3">
        <v>727.01</v>
      </c>
      <c r="C9" s="4">
        <v>495</v>
      </c>
    </row>
    <row r="10" spans="1:3" ht="15.75" customHeight="1" x14ac:dyDescent="0.15">
      <c r="A10" s="3" t="s">
        <v>11</v>
      </c>
      <c r="B10" s="3">
        <v>208.53</v>
      </c>
      <c r="C10" s="4">
        <v>510.58</v>
      </c>
    </row>
    <row r="11" spans="1:3" ht="15.75" customHeight="1" x14ac:dyDescent="0.15">
      <c r="A11" s="3" t="s">
        <v>12</v>
      </c>
      <c r="B11" s="3">
        <v>2551.11</v>
      </c>
      <c r="C11" s="4">
        <v>1478.67</v>
      </c>
    </row>
    <row r="12" spans="1:3" ht="15.75" customHeight="1" x14ac:dyDescent="0.15">
      <c r="A12" s="3" t="s">
        <v>13</v>
      </c>
      <c r="B12" s="3">
        <v>601.15</v>
      </c>
      <c r="C12" s="4">
        <v>612</v>
      </c>
    </row>
    <row r="13" spans="1:3" ht="15.75" customHeight="1" x14ac:dyDescent="0.15">
      <c r="A13" s="3" t="s">
        <v>77</v>
      </c>
      <c r="B13" s="3">
        <v>292.56</v>
      </c>
      <c r="C13" s="4">
        <f t="shared" ref="C13:C14" si="0">9164/12</f>
        <v>763.66666666666663</v>
      </c>
    </row>
    <row r="14" spans="1:3" ht="15.75" customHeight="1" x14ac:dyDescent="0.15">
      <c r="A14" s="3" t="s">
        <v>78</v>
      </c>
      <c r="B14" s="3">
        <v>277.2</v>
      </c>
      <c r="C14" s="4">
        <f t="shared" si="0"/>
        <v>763.66666666666663</v>
      </c>
    </row>
    <row r="15" spans="1:3" ht="15.75" customHeight="1" x14ac:dyDescent="0.15">
      <c r="A15" s="3" t="s">
        <v>79</v>
      </c>
      <c r="B15" s="3">
        <v>255.99</v>
      </c>
      <c r="C15" s="4">
        <f>7200/12</f>
        <v>600</v>
      </c>
    </row>
    <row r="16" spans="1:3" ht="15.75" customHeight="1" x14ac:dyDescent="0.15">
      <c r="A16" s="3" t="s">
        <v>80</v>
      </c>
      <c r="B16" s="3">
        <v>273.54000000000002</v>
      </c>
      <c r="C16" s="4">
        <f>9164/12</f>
        <v>763.66666666666663</v>
      </c>
    </row>
    <row r="17" spans="1:4" ht="15.75" customHeight="1" x14ac:dyDescent="0.15">
      <c r="A17" s="3" t="s">
        <v>81</v>
      </c>
      <c r="B17" s="3">
        <v>318.89</v>
      </c>
      <c r="C17" s="4">
        <f>11507/12</f>
        <v>958.91666666666663</v>
      </c>
    </row>
    <row r="18" spans="1:4" ht="15.75" customHeight="1" x14ac:dyDescent="0.15">
      <c r="A18" s="3" t="s">
        <v>82</v>
      </c>
      <c r="B18" s="3">
        <v>285.24</v>
      </c>
      <c r="C18" s="4">
        <f t="shared" ref="C18:C19" si="1">9164/12</f>
        <v>763.66666666666663</v>
      </c>
    </row>
    <row r="19" spans="1:4" ht="15.75" customHeight="1" x14ac:dyDescent="0.15">
      <c r="A19" s="3" t="s">
        <v>83</v>
      </c>
      <c r="B19" s="3">
        <v>295.48</v>
      </c>
      <c r="C19" s="4">
        <f t="shared" si="1"/>
        <v>763.66666666666663</v>
      </c>
    </row>
    <row r="20" spans="1:4" ht="15.75" customHeight="1" x14ac:dyDescent="0.15">
      <c r="A20" s="3" t="s">
        <v>84</v>
      </c>
      <c r="B20" s="3">
        <v>318.89</v>
      </c>
      <c r="C20" s="4">
        <f>17304/12</f>
        <v>1442</v>
      </c>
    </row>
    <row r="21" spans="1:4" ht="15.75" customHeight="1" x14ac:dyDescent="0.15">
      <c r="A21" s="3" t="s">
        <v>85</v>
      </c>
      <c r="B21" s="3">
        <v>318.89</v>
      </c>
      <c r="C21" s="4">
        <f t="shared" ref="C21:C22" si="2">9164/12</f>
        <v>763.66666666666663</v>
      </c>
    </row>
    <row r="22" spans="1:4" ht="15.75" customHeight="1" x14ac:dyDescent="0.15">
      <c r="A22" s="3" t="s">
        <v>14</v>
      </c>
      <c r="B22" s="3">
        <f>MIN(B14:B21)</f>
        <v>255.99</v>
      </c>
      <c r="C22" s="4">
        <f t="shared" si="2"/>
        <v>763.66666666666663</v>
      </c>
    </row>
    <row r="23" spans="1:4" ht="15.75" customHeight="1" x14ac:dyDescent="0.15">
      <c r="A23" s="3" t="s">
        <v>15</v>
      </c>
      <c r="B23" s="3">
        <v>492.75</v>
      </c>
      <c r="C23" s="4">
        <f>4870/12</f>
        <v>405.83333333333331</v>
      </c>
    </row>
    <row r="24" spans="1:4" ht="15.75" customHeight="1" x14ac:dyDescent="0.15">
      <c r="A24" s="3" t="s">
        <v>16</v>
      </c>
      <c r="B24" s="3">
        <v>821.74</v>
      </c>
      <c r="C24" s="4">
        <f>13057/12</f>
        <v>1088.0833333333333</v>
      </c>
    </row>
    <row r="25" spans="1:4" ht="15.75" customHeight="1" x14ac:dyDescent="0.15">
      <c r="A25" s="3" t="s">
        <v>112</v>
      </c>
      <c r="B25" s="6">
        <v>1232.2</v>
      </c>
      <c r="C25" s="8">
        <f>7868/12</f>
        <v>655.66666666666663</v>
      </c>
      <c r="D25" s="8"/>
    </row>
    <row r="26" spans="1:4" ht="15.75" customHeight="1" x14ac:dyDescent="0.15">
      <c r="A26" s="3" t="s">
        <v>17</v>
      </c>
      <c r="B26" s="3">
        <v>1078.43</v>
      </c>
      <c r="C26" s="4">
        <f>12875/12</f>
        <v>1072.9166666666667</v>
      </c>
    </row>
    <row r="27" spans="1:4" ht="15.75" customHeight="1" x14ac:dyDescent="0.15">
      <c r="A27" s="3" t="s">
        <v>107</v>
      </c>
      <c r="B27" s="6">
        <v>2411.83</v>
      </c>
      <c r="C27" s="6">
        <v>2411.83</v>
      </c>
    </row>
    <row r="28" spans="1:4" ht="15.75" customHeight="1" x14ac:dyDescent="0.15">
      <c r="A28" s="3" t="s">
        <v>18</v>
      </c>
      <c r="B28" s="3">
        <v>504.28</v>
      </c>
      <c r="C28" s="4">
        <f>8097/12</f>
        <v>674.75</v>
      </c>
    </row>
    <row r="29" spans="1:4" ht="15.75" customHeight="1" x14ac:dyDescent="0.15">
      <c r="A29" s="3" t="s">
        <v>19</v>
      </c>
      <c r="B29" s="3">
        <v>482</v>
      </c>
      <c r="C29" s="4">
        <f>5454/12</f>
        <v>454.5</v>
      </c>
    </row>
    <row r="30" spans="1:4" ht="15.75" customHeight="1" x14ac:dyDescent="0.15">
      <c r="A30" s="3" t="s">
        <v>20</v>
      </c>
      <c r="B30" s="3">
        <v>133.16999999999999</v>
      </c>
      <c r="C30" s="4">
        <f>4882/12</f>
        <v>406.83333333333331</v>
      </c>
    </row>
    <row r="31" spans="1:4" ht="15.75" customHeight="1" x14ac:dyDescent="0.15">
      <c r="A31" s="3" t="s">
        <v>21</v>
      </c>
      <c r="B31" s="3">
        <v>402.32</v>
      </c>
      <c r="C31" s="4">
        <f>8212/12</f>
        <v>684.33333333333337</v>
      </c>
    </row>
    <row r="32" spans="1:4" ht="15.75" customHeight="1" x14ac:dyDescent="0.15">
      <c r="A32" s="3" t="s">
        <v>22</v>
      </c>
      <c r="B32" s="3">
        <v>1039.28</v>
      </c>
      <c r="C32" s="4">
        <f>10122/12</f>
        <v>843.5</v>
      </c>
    </row>
    <row r="33" spans="1:3" ht="15.75" customHeight="1" x14ac:dyDescent="0.15">
      <c r="A33" s="3" t="s">
        <v>23</v>
      </c>
      <c r="B33" s="3">
        <v>4.76</v>
      </c>
      <c r="C33" s="4">
        <f>3188/12</f>
        <v>265.66666666666669</v>
      </c>
    </row>
    <row r="34" spans="1:3" ht="15.75" customHeight="1" x14ac:dyDescent="0.15">
      <c r="A34" s="3" t="s">
        <v>24</v>
      </c>
      <c r="B34" s="3">
        <v>919.11</v>
      </c>
      <c r="C34" s="4">
        <f>11330/12</f>
        <v>944.16666666666663</v>
      </c>
    </row>
    <row r="35" spans="1:3" ht="15.75" customHeight="1" x14ac:dyDescent="0.15">
      <c r="A35" s="3" t="s">
        <v>25</v>
      </c>
      <c r="B35" s="3">
        <v>597.15</v>
      </c>
      <c r="C35" s="4">
        <f>9247/12</f>
        <v>770.58333333333337</v>
      </c>
    </row>
    <row r="36" spans="1:3" ht="15.75" customHeight="1" x14ac:dyDescent="0.15">
      <c r="A36" s="3" t="s">
        <v>26</v>
      </c>
      <c r="B36" s="3">
        <v>3387.3</v>
      </c>
      <c r="C36" s="4">
        <f>13508/12</f>
        <v>1125.6666666666667</v>
      </c>
    </row>
    <row r="37" spans="1:3" ht="15.75" customHeight="1" x14ac:dyDescent="0.15">
      <c r="A37" s="3" t="s">
        <v>27</v>
      </c>
      <c r="B37" s="3">
        <v>1078.69</v>
      </c>
      <c r="C37" s="4">
        <f>9947/12</f>
        <v>828.91666666666663</v>
      </c>
    </row>
    <row r="38" spans="1:3" ht="15.75" customHeight="1" x14ac:dyDescent="0.15">
      <c r="A38" s="3" t="s">
        <v>28</v>
      </c>
      <c r="B38" s="3">
        <v>455.02</v>
      </c>
      <c r="C38" s="4">
        <f>9034/12</f>
        <v>752.83333333333337</v>
      </c>
    </row>
    <row r="39" spans="1:3" ht="15.75" customHeight="1" x14ac:dyDescent="0.15">
      <c r="A39" s="3" t="s">
        <v>29</v>
      </c>
      <c r="B39" s="3">
        <v>157.22999999999999</v>
      </c>
      <c r="C39" s="4">
        <f>9466/12</f>
        <v>788.83333333333337</v>
      </c>
    </row>
    <row r="40" spans="1:3" ht="15.75" customHeight="1" x14ac:dyDescent="0.15">
      <c r="A40" s="3" t="s">
        <v>30</v>
      </c>
      <c r="B40" s="3">
        <v>661.98</v>
      </c>
      <c r="C40" s="4">
        <f>8003/12</f>
        <v>666.91666666666663</v>
      </c>
    </row>
    <row r="41" spans="1:3" ht="15.75" customHeight="1" x14ac:dyDescent="0.15">
      <c r="A41" s="3" t="s">
        <v>31</v>
      </c>
      <c r="B41" s="3">
        <v>1116.6600000000001</v>
      </c>
      <c r="C41" s="4">
        <f>12850/12</f>
        <v>1070.8333333333333</v>
      </c>
    </row>
    <row r="42" spans="1:3" ht="15.75" customHeight="1" x14ac:dyDescent="0.15">
      <c r="A42" s="3" t="s">
        <v>32</v>
      </c>
      <c r="B42" s="3">
        <v>128.29</v>
      </c>
      <c r="C42" s="4">
        <f>3070/12</f>
        <v>255.83333333333334</v>
      </c>
    </row>
    <row r="43" spans="1:3" ht="15.75" customHeight="1" x14ac:dyDescent="0.15">
      <c r="A43" s="3" t="s">
        <v>33</v>
      </c>
      <c r="B43" s="3">
        <v>135.13999999999999</v>
      </c>
      <c r="C43" s="4">
        <f>6507/12</f>
        <v>542.25</v>
      </c>
    </row>
    <row r="44" spans="1:3" ht="15.75" customHeight="1" x14ac:dyDescent="0.15">
      <c r="A44" s="3" t="s">
        <v>34</v>
      </c>
      <c r="B44" s="3">
        <v>2157.98</v>
      </c>
      <c r="C44" s="4">
        <f>14472/12</f>
        <v>1206</v>
      </c>
    </row>
    <row r="45" spans="1:3" ht="15.75" customHeight="1" x14ac:dyDescent="0.15">
      <c r="A45" s="3" t="s">
        <v>108</v>
      </c>
      <c r="B45" s="6">
        <v>1093.42</v>
      </c>
      <c r="C45" s="6">
        <v>1093.42</v>
      </c>
    </row>
    <row r="46" spans="1:3" ht="15.75" customHeight="1" x14ac:dyDescent="0.15">
      <c r="A46" s="3" t="s">
        <v>35</v>
      </c>
      <c r="B46" s="3">
        <v>193.33</v>
      </c>
      <c r="C46" s="4">
        <f>11508/12</f>
        <v>959</v>
      </c>
    </row>
    <row r="47" spans="1:3" ht="15.75" customHeight="1" x14ac:dyDescent="0.15">
      <c r="A47" s="3" t="s">
        <v>36</v>
      </c>
      <c r="B47" s="3">
        <v>409.03</v>
      </c>
      <c r="C47" s="4">
        <f>4682/12</f>
        <v>390.16666666666669</v>
      </c>
    </row>
    <row r="48" spans="1:3" ht="15.75" customHeight="1" x14ac:dyDescent="0.15">
      <c r="A48" s="3" t="s">
        <v>37</v>
      </c>
      <c r="B48" s="3">
        <v>124.83</v>
      </c>
      <c r="C48" s="4">
        <f>4950/12</f>
        <v>412.5</v>
      </c>
    </row>
    <row r="49" spans="1:3" ht="15.75" customHeight="1" x14ac:dyDescent="0.15">
      <c r="A49" s="3" t="s">
        <v>38</v>
      </c>
      <c r="B49" s="3">
        <v>114.29</v>
      </c>
      <c r="C49" s="4">
        <f>3650/12</f>
        <v>304.16666666666669</v>
      </c>
    </row>
    <row r="50" spans="1:3" ht="15.75" customHeight="1" x14ac:dyDescent="0.15">
      <c r="A50" s="3" t="s">
        <v>39</v>
      </c>
      <c r="B50" s="3">
        <v>164.11</v>
      </c>
      <c r="C50" s="4">
        <f>6421/12</f>
        <v>535.08333333333337</v>
      </c>
    </row>
    <row r="51" spans="1:3" ht="15.75" customHeight="1" x14ac:dyDescent="0.15">
      <c r="A51" s="3" t="s">
        <v>40</v>
      </c>
      <c r="B51" s="3">
        <v>1352.18</v>
      </c>
      <c r="C51" s="4">
        <f>8743/12</f>
        <v>728.58333333333337</v>
      </c>
    </row>
    <row r="52" spans="1:3" ht="13" x14ac:dyDescent="0.15">
      <c r="A52" s="3" t="s">
        <v>41</v>
      </c>
      <c r="B52" s="3">
        <v>903.99</v>
      </c>
      <c r="C52" s="4">
        <f>10142/12</f>
        <v>845.16666666666663</v>
      </c>
    </row>
    <row r="53" spans="1:3" ht="13" x14ac:dyDescent="0.15">
      <c r="A53" s="3" t="s">
        <v>42</v>
      </c>
      <c r="B53" s="3">
        <v>63.32</v>
      </c>
      <c r="C53" s="4">
        <f>5005/12</f>
        <v>417.08333333333331</v>
      </c>
    </row>
    <row r="54" spans="1:3" ht="13" x14ac:dyDescent="0.15">
      <c r="A54" s="3" t="s">
        <v>43</v>
      </c>
      <c r="B54" s="3">
        <v>430.11</v>
      </c>
      <c r="C54" s="4">
        <f>4687/12</f>
        <v>390.58333333333331</v>
      </c>
    </row>
    <row r="55" spans="1:3" ht="13" x14ac:dyDescent="0.15">
      <c r="A55" s="3" t="s">
        <v>44</v>
      </c>
      <c r="B55" s="3">
        <v>378.85</v>
      </c>
      <c r="C55" s="4">
        <f>6216/12</f>
        <v>518</v>
      </c>
    </row>
    <row r="56" spans="1:3" ht="13" x14ac:dyDescent="0.15">
      <c r="A56" s="3" t="s">
        <v>45</v>
      </c>
      <c r="B56" s="3">
        <v>563.70000000000005</v>
      </c>
      <c r="C56" s="4">
        <f>8107/12</f>
        <v>675.58333333333337</v>
      </c>
    </row>
    <row r="57" spans="1:3" ht="13" x14ac:dyDescent="0.15">
      <c r="A57" s="3" t="s">
        <v>46</v>
      </c>
      <c r="B57" s="3">
        <v>363.3</v>
      </c>
      <c r="C57" s="4">
        <f>7260/12</f>
        <v>605</v>
      </c>
    </row>
    <row r="58" spans="1:3" ht="13" x14ac:dyDescent="0.15">
      <c r="A58" s="3" t="s">
        <v>47</v>
      </c>
      <c r="B58" s="3">
        <v>370.91</v>
      </c>
      <c r="C58" s="4">
        <f>4007/12</f>
        <v>333.91666666666669</v>
      </c>
    </row>
    <row r="59" spans="1:3" ht="13" x14ac:dyDescent="0.15">
      <c r="A59" s="3" t="s">
        <v>111</v>
      </c>
      <c r="B59" s="3">
        <v>111.45</v>
      </c>
      <c r="C59" s="4">
        <f>3839/12</f>
        <v>319.91666666666669</v>
      </c>
    </row>
    <row r="60" spans="1:3" ht="13" x14ac:dyDescent="0.15">
      <c r="A60" s="3" t="s">
        <v>48</v>
      </c>
      <c r="B60" s="5">
        <v>1622.13</v>
      </c>
      <c r="C60" s="4">
        <f>15320/12</f>
        <v>1276.6666666666667</v>
      </c>
    </row>
    <row r="61" spans="1:3" ht="13" x14ac:dyDescent="0.15">
      <c r="A61" s="3" t="s">
        <v>49</v>
      </c>
      <c r="B61" s="3">
        <v>226.49</v>
      </c>
      <c r="C61" s="4">
        <f>6815/12</f>
        <v>567.91666666666663</v>
      </c>
    </row>
    <row r="62" spans="1:3" ht="13" x14ac:dyDescent="0.15">
      <c r="A62" s="3" t="s">
        <v>50</v>
      </c>
      <c r="B62" s="3">
        <v>732.51</v>
      </c>
      <c r="C62" s="4">
        <f>4634/12</f>
        <v>386.16666666666669</v>
      </c>
    </row>
    <row r="63" spans="1:3" ht="13" x14ac:dyDescent="0.15">
      <c r="A63" s="3" t="s">
        <v>51</v>
      </c>
      <c r="B63" s="3">
        <v>132.94</v>
      </c>
      <c r="C63" s="4">
        <f>2329/12</f>
        <v>194.08333333333334</v>
      </c>
    </row>
    <row r="64" spans="1:3" ht="13" x14ac:dyDescent="0.15">
      <c r="A64" s="3" t="s">
        <v>52</v>
      </c>
      <c r="B64" s="3">
        <v>458.14</v>
      </c>
      <c r="C64" s="4">
        <f>5367/12</f>
        <v>447.25</v>
      </c>
    </row>
    <row r="65" spans="1:3" ht="13" x14ac:dyDescent="0.15">
      <c r="A65" s="3" t="s">
        <v>53</v>
      </c>
      <c r="B65" s="3">
        <v>326.58</v>
      </c>
      <c r="C65" s="4">
        <f>5494/12</f>
        <v>457.83333333333331</v>
      </c>
    </row>
    <row r="66" spans="1:3" ht="13" x14ac:dyDescent="0.15">
      <c r="A66" s="3" t="s">
        <v>54</v>
      </c>
      <c r="B66" s="3">
        <v>277.08</v>
      </c>
      <c r="C66" s="4">
        <f>5852/12</f>
        <v>487.66666666666669</v>
      </c>
    </row>
    <row r="67" spans="1:3" ht="13" x14ac:dyDescent="0.15">
      <c r="A67" s="3" t="s">
        <v>55</v>
      </c>
      <c r="B67" s="3">
        <v>1328.63</v>
      </c>
      <c r="C67" s="4">
        <f>9674/12</f>
        <v>806.16666666666663</v>
      </c>
    </row>
    <row r="68" spans="1:3" ht="13" x14ac:dyDescent="0.15">
      <c r="A68" s="3" t="s">
        <v>56</v>
      </c>
      <c r="B68" s="3">
        <v>1079.02</v>
      </c>
      <c r="C68" s="4">
        <f>12542/12</f>
        <v>1045.1666666666667</v>
      </c>
    </row>
    <row r="69" spans="1:3" ht="13" x14ac:dyDescent="0.15">
      <c r="A69" s="3" t="s">
        <v>57</v>
      </c>
      <c r="B69" s="3">
        <v>2182.3200000000002</v>
      </c>
      <c r="C69" s="4">
        <f>16257/12</f>
        <v>1354.75</v>
      </c>
    </row>
    <row r="70" spans="1:3" ht="13" x14ac:dyDescent="0.15">
      <c r="A70" s="3" t="s">
        <v>58</v>
      </c>
      <c r="B70" s="3">
        <v>934.04</v>
      </c>
      <c r="C70" s="4">
        <f>5917/12</f>
        <v>493.08333333333331</v>
      </c>
    </row>
    <row r="71" spans="1:3" ht="13" x14ac:dyDescent="0.15">
      <c r="A71" s="3" t="s">
        <v>59</v>
      </c>
      <c r="B71" s="3">
        <v>1066.44</v>
      </c>
      <c r="C71" s="4">
        <f>6611/12</f>
        <v>550.91666666666663</v>
      </c>
    </row>
    <row r="72" spans="1:3" ht="13" x14ac:dyDescent="0.15">
      <c r="A72" s="3" t="s">
        <v>60</v>
      </c>
      <c r="B72" s="3">
        <v>881.28</v>
      </c>
      <c r="C72" s="4">
        <f>7912/12</f>
        <v>659.33333333333337</v>
      </c>
    </row>
    <row r="73" spans="1:3" ht="13" x14ac:dyDescent="0.15">
      <c r="A73" s="3" t="s">
        <v>61</v>
      </c>
      <c r="B73" s="3">
        <v>1073.26</v>
      </c>
      <c r="C73" s="4">
        <f>11009/12</f>
        <v>917.41666666666663</v>
      </c>
    </row>
    <row r="74" spans="1:3" ht="13" x14ac:dyDescent="0.15">
      <c r="A74" s="3" t="s">
        <v>62</v>
      </c>
      <c r="B74" s="3">
        <v>1738.19</v>
      </c>
      <c r="C74" s="4">
        <f>10566/12</f>
        <v>880.5</v>
      </c>
    </row>
    <row r="75" spans="1:3" ht="13" x14ac:dyDescent="0.15">
      <c r="A75" s="3" t="s">
        <v>63</v>
      </c>
      <c r="B75" s="3">
        <v>357.01</v>
      </c>
      <c r="C75" s="4">
        <f>7950/12</f>
        <v>662.5</v>
      </c>
    </row>
    <row r="76" spans="1:3" ht="13" x14ac:dyDescent="0.15">
      <c r="A76" s="3" t="s">
        <v>64</v>
      </c>
      <c r="B76" s="3">
        <v>1466.07</v>
      </c>
      <c r="C76" s="4">
        <f>17925/12</f>
        <v>1493.75</v>
      </c>
    </row>
    <row r="77" spans="1:3" ht="13" x14ac:dyDescent="0.15">
      <c r="A77" s="3" t="s">
        <v>65</v>
      </c>
      <c r="B77" s="3">
        <v>1431.99</v>
      </c>
      <c r="C77" s="4">
        <f>12369/12</f>
        <v>1030.75</v>
      </c>
    </row>
    <row r="78" spans="1:3" ht="13" x14ac:dyDescent="0.15">
      <c r="A78" s="3" t="s">
        <v>66</v>
      </c>
      <c r="B78" s="3">
        <v>94.28</v>
      </c>
      <c r="C78" s="4">
        <f>4345/12</f>
        <v>362.08333333333331</v>
      </c>
    </row>
    <row r="79" spans="1:3" ht="13" x14ac:dyDescent="0.15">
      <c r="A79" s="3" t="s">
        <v>67</v>
      </c>
      <c r="B79" s="3">
        <v>5091.01</v>
      </c>
      <c r="C79" s="4">
        <f>24300/12</f>
        <v>2025</v>
      </c>
    </row>
    <row r="80" spans="1:3" ht="13" x14ac:dyDescent="0.15">
      <c r="A80" s="3" t="s">
        <v>68</v>
      </c>
      <c r="B80" s="3">
        <v>939</v>
      </c>
      <c r="C80" s="4">
        <f>8554/12</f>
        <v>712.83333333333337</v>
      </c>
    </row>
    <row r="81" spans="1:3" ht="13" x14ac:dyDescent="0.15">
      <c r="A81" s="3" t="s">
        <v>69</v>
      </c>
      <c r="B81" s="3">
        <v>67.349999999999994</v>
      </c>
      <c r="C81" s="4">
        <f>4738/12</f>
        <v>394.83333333333331</v>
      </c>
    </row>
    <row r="82" spans="1:3" ht="13" x14ac:dyDescent="0.15">
      <c r="A82" s="3" t="s">
        <v>70</v>
      </c>
      <c r="B82" s="3">
        <v>10.42</v>
      </c>
      <c r="C82" s="4">
        <f>7440/12</f>
        <v>620</v>
      </c>
    </row>
    <row r="83" spans="1:3" ht="13" x14ac:dyDescent="0.15">
      <c r="A83" s="3" t="s">
        <v>71</v>
      </c>
      <c r="B83" s="3">
        <v>153.75</v>
      </c>
      <c r="C83" s="4">
        <f>3373/12</f>
        <v>281.08333333333331</v>
      </c>
    </row>
    <row r="84" spans="1:3" ht="13" x14ac:dyDescent="0.15">
      <c r="A84" s="3" t="s">
        <v>72</v>
      </c>
      <c r="B84" s="3">
        <v>733.51</v>
      </c>
      <c r="C84" s="4">
        <f>7032/12</f>
        <v>586</v>
      </c>
    </row>
    <row r="85" spans="1:3" ht="13" x14ac:dyDescent="0.15">
      <c r="A85" s="3" t="s">
        <v>110</v>
      </c>
      <c r="B85" s="3">
        <v>1633.76</v>
      </c>
      <c r="C85" s="4">
        <f>20337/12</f>
        <v>1694.75</v>
      </c>
    </row>
    <row r="86" spans="1:3" ht="13" x14ac:dyDescent="0.15">
      <c r="A86" s="3" t="s">
        <v>73</v>
      </c>
      <c r="B86" s="3">
        <v>196.56</v>
      </c>
      <c r="C86" s="4">
        <f>5040/12</f>
        <v>420</v>
      </c>
    </row>
    <row r="87" spans="1:3" ht="13" x14ac:dyDescent="0.15">
      <c r="A87" s="3" t="s">
        <v>74</v>
      </c>
      <c r="B87" s="3">
        <v>3547.14</v>
      </c>
      <c r="C87" s="4">
        <f>16720/12</f>
        <v>1393.3333333333333</v>
      </c>
    </row>
    <row r="88" spans="1:3" ht="13" x14ac:dyDescent="0.15">
      <c r="A88" s="3" t="s">
        <v>75</v>
      </c>
      <c r="B88" s="3">
        <v>617.86</v>
      </c>
      <c r="C88" s="4">
        <f>9891/12</f>
        <v>824.25</v>
      </c>
    </row>
    <row r="89" spans="1:3" ht="13" x14ac:dyDescent="0.15">
      <c r="A89" s="3" t="s">
        <v>86</v>
      </c>
      <c r="B89" s="3">
        <v>1905.2</v>
      </c>
      <c r="C89" s="4">
        <f>21397/12</f>
        <v>1783.0833333333333</v>
      </c>
    </row>
    <row r="90" spans="1:3" ht="13" x14ac:dyDescent="0.15">
      <c r="A90" s="3" t="s">
        <v>87</v>
      </c>
      <c r="B90" s="3">
        <v>2598</v>
      </c>
      <c r="C90" s="4">
        <f>((23539+33075+35890+36832)/4)/12</f>
        <v>2694.5</v>
      </c>
    </row>
    <row r="91" spans="1:3" ht="13" x14ac:dyDescent="0.15">
      <c r="A91" s="3" t="s">
        <v>88</v>
      </c>
      <c r="B91" s="3">
        <v>1255.7</v>
      </c>
      <c r="C91" s="4">
        <f>21147/12</f>
        <v>1762.25</v>
      </c>
    </row>
    <row r="92" spans="1:3" ht="13" x14ac:dyDescent="0.15">
      <c r="A92" s="3" t="s">
        <v>89</v>
      </c>
      <c r="B92" s="3">
        <v>2598</v>
      </c>
      <c r="C92" s="4">
        <f>27707/12</f>
        <v>2308.9166666666665</v>
      </c>
    </row>
    <row r="93" spans="1:3" ht="13" x14ac:dyDescent="0.15">
      <c r="A93" s="3" t="s">
        <v>90</v>
      </c>
      <c r="B93" s="3">
        <v>1255.7</v>
      </c>
      <c r="C93" s="4">
        <f t="shared" ref="C93:C94" si="3">21397/12</f>
        <v>1783.0833333333333</v>
      </c>
    </row>
    <row r="94" spans="1:3" ht="13" x14ac:dyDescent="0.15">
      <c r="A94" s="3" t="s">
        <v>91</v>
      </c>
      <c r="B94" s="3">
        <v>2598</v>
      </c>
      <c r="C94" s="4">
        <f t="shared" si="3"/>
        <v>1783.0833333333333</v>
      </c>
    </row>
    <row r="95" spans="1:3" ht="13" x14ac:dyDescent="0.15">
      <c r="A95" s="3" t="s">
        <v>92</v>
      </c>
      <c r="B95" s="3">
        <v>2598</v>
      </c>
      <c r="C95" s="4">
        <f>23933/12</f>
        <v>1994.4166666666667</v>
      </c>
    </row>
    <row r="96" spans="1:3" ht="13" x14ac:dyDescent="0.15">
      <c r="A96" s="3" t="s">
        <v>93</v>
      </c>
      <c r="B96" s="3">
        <v>2378.04</v>
      </c>
      <c r="C96" s="4">
        <f>21397/12</f>
        <v>1783.0833333333333</v>
      </c>
    </row>
    <row r="97" spans="1:3" ht="13" x14ac:dyDescent="0.15">
      <c r="A97" s="3" t="s">
        <v>94</v>
      </c>
      <c r="B97" s="3">
        <v>2835.28</v>
      </c>
      <c r="C97" s="4">
        <f>22226/12</f>
        <v>1852.1666666666667</v>
      </c>
    </row>
    <row r="98" spans="1:3" ht="13" x14ac:dyDescent="0.15">
      <c r="A98" s="3" t="s">
        <v>95</v>
      </c>
      <c r="B98" s="3">
        <v>2598</v>
      </c>
      <c r="C98" s="4">
        <f t="shared" ref="C98:C100" si="4">21397/12</f>
        <v>1783.0833333333333</v>
      </c>
    </row>
    <row r="99" spans="1:3" ht="13" x14ac:dyDescent="0.15">
      <c r="A99" s="3" t="s">
        <v>96</v>
      </c>
      <c r="B99" s="3">
        <v>1255.7</v>
      </c>
      <c r="C99" s="4">
        <f t="shared" si="4"/>
        <v>1783.0833333333333</v>
      </c>
    </row>
    <row r="100" spans="1:3" ht="13" x14ac:dyDescent="0.15">
      <c r="A100" s="3" t="s">
        <v>97</v>
      </c>
      <c r="B100" s="3">
        <v>2757.34</v>
      </c>
      <c r="C100" s="4">
        <f t="shared" si="4"/>
        <v>1783.0833333333333</v>
      </c>
    </row>
    <row r="101" spans="1:3" ht="13" x14ac:dyDescent="0.15">
      <c r="A101" s="3" t="s">
        <v>98</v>
      </c>
      <c r="B101" s="3">
        <v>2771.2</v>
      </c>
      <c r="C101" s="4">
        <f>22764/12</f>
        <v>1897</v>
      </c>
    </row>
    <row r="102" spans="1:3" ht="13" x14ac:dyDescent="0.15">
      <c r="A102" s="3" t="s">
        <v>99</v>
      </c>
      <c r="B102" s="3">
        <v>1255.7</v>
      </c>
      <c r="C102" s="4">
        <f>22875/12</f>
        <v>1906.25</v>
      </c>
    </row>
    <row r="103" spans="1:3" ht="13" x14ac:dyDescent="0.15">
      <c r="A103" s="3" t="s">
        <v>100</v>
      </c>
      <c r="B103" s="3">
        <v>2433.46</v>
      </c>
      <c r="C103" s="4">
        <f>18606/12</f>
        <v>1550.5</v>
      </c>
    </row>
    <row r="104" spans="1:3" ht="13" x14ac:dyDescent="0.15">
      <c r="A104" s="3" t="s">
        <v>101</v>
      </c>
      <c r="B104" s="3">
        <v>1255.7</v>
      </c>
      <c r="C104" s="4">
        <f>20015/12</f>
        <v>1667.9166666666667</v>
      </c>
    </row>
    <row r="105" spans="1:3" ht="13" x14ac:dyDescent="0.15">
      <c r="A105" s="3" t="s">
        <v>102</v>
      </c>
      <c r="B105" s="3">
        <v>2771.2</v>
      </c>
      <c r="C105" s="4">
        <f t="shared" ref="C105:C106" si="5">21397/12</f>
        <v>1783.0833333333333</v>
      </c>
    </row>
    <row r="106" spans="1:3" ht="13" x14ac:dyDescent="0.15">
      <c r="A106" s="3" t="s">
        <v>103</v>
      </c>
      <c r="B106" s="3">
        <v>1255.7</v>
      </c>
      <c r="C106" s="4">
        <f t="shared" si="5"/>
        <v>1783.0833333333333</v>
      </c>
    </row>
    <row r="107" spans="1:3" ht="13" x14ac:dyDescent="0.15">
      <c r="A107" s="3" t="s">
        <v>104</v>
      </c>
      <c r="B107" s="3">
        <v>1255.7</v>
      </c>
      <c r="C107" s="4">
        <f>25134/12</f>
        <v>2094.5</v>
      </c>
    </row>
    <row r="108" spans="1:3" ht="13" x14ac:dyDescent="0.15">
      <c r="A108" s="3" t="s">
        <v>105</v>
      </c>
      <c r="B108" s="3">
        <v>1255.7</v>
      </c>
      <c r="C108" s="4">
        <f>20192/12</f>
        <v>1682.6666666666667</v>
      </c>
    </row>
    <row r="109" spans="1:3" ht="13" x14ac:dyDescent="0.15">
      <c r="A109" s="3" t="s">
        <v>106</v>
      </c>
      <c r="B109" s="3">
        <v>1255.7</v>
      </c>
      <c r="C109" s="4">
        <f>21397/12</f>
        <v>1783.0833333333333</v>
      </c>
    </row>
    <row r="110" spans="1:3" ht="13" x14ac:dyDescent="0.15">
      <c r="A110" s="3" t="s">
        <v>113</v>
      </c>
      <c r="B110" s="7">
        <v>2006.81</v>
      </c>
      <c r="C110" s="7">
        <v>1868.66</v>
      </c>
    </row>
    <row r="111" spans="1:3" ht="15.75" customHeight="1" x14ac:dyDescent="0.15">
      <c r="A111" s="3" t="s">
        <v>109</v>
      </c>
      <c r="B111" s="7">
        <f>AVERAGE(B89:B109)</f>
        <v>2006.8104761904754</v>
      </c>
      <c r="C111" s="7">
        <f>AVERAGE(C89:C109)</f>
        <v>1868.6626984126983</v>
      </c>
    </row>
    <row r="112" spans="1:3" ht="13" x14ac:dyDescent="0.15">
      <c r="A112" s="3" t="s">
        <v>76</v>
      </c>
      <c r="B112" s="3">
        <v>140.37</v>
      </c>
      <c r="C112" s="4">
        <f>5851/12</f>
        <v>487.58333333333331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minliving 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LuisPablo Padres</cp:lastModifiedBy>
  <dcterms:modified xsi:type="dcterms:W3CDTF">2026-05-06T05:19:36Z</dcterms:modified>
</cp:coreProperties>
</file>